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_Data" sheetId="2" state="visible" r:id="rId4"/>
    <sheet name="Bridges" sheetId="3" state="visible" r:id="rId5"/>
  </sheets>
  <definedNames>
    <definedName function="false" hidden="true" localSheetId="1" name="_xlnm._FilterDatabase" vbProcedure="false">Daily_Data!$A$1:$J$15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<sst xmlns="http://schemas.openxmlformats.org/spreadsheetml/2006/main" count="53" uniqueCount="53">
  <si>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C0 Sort Wash Dashboard</t>
  </si>
  <si>
    <t xml:space="preserve">Daily shift performance — volume, TPH, SSP &amp; WIP compliance</t>
  </si>
  <si>
    <t xml:space="preserve">TOTAL PROCESSED</t>
  </si>
  <si>
    <t xml:space="preserve">AVG SORT TPH</t>
  </si>
  <si>
    <t xml:space="preserve">AVG SSP</t>
  </si>
  <si>
    <t xml:space="preserve">AVG WIP</t>
  </si>
  <si>
    <t xml:space="preserve">"goal 99.95%"</t>
  </si>
  <si>
    <t xml:space="preserve">Charts</t>
  </si>
  <si>
    <t xml:space="preserve">Date</t>
  </si>
  <si>
    <t xml:space="preserve">Planned Vol</t>
  </si>
  <si>
    <t xml:space="preserve">Processed Vol</t>
  </si>
  <si>
    <t xml:space="preserve">TPH Plan</t>
  </si>
  <si>
    <t xml:space="preserve">Sort TPH</t>
  </si>
  <si>
    <t xml:space="preserve">SSP</t>
  </si>
  <si>
    <t xml:space="preserve">WIP %</t>
  </si>
  <si>
    <t xml:space="preserve">High WIP</t>
  </si>
  <si>
    <t xml:space="preserve">Induct BRT</t>
  </si>
  <si>
    <t xml:space="preserve">Notes</t>
  </si>
  <si>
    <t xml:space="preserve">Vol Variance</t>
  </si>
  <si>
    <t xml:space="preserve">TPH Var</t>
  </si>
  <si>
    <t xml:space="preserve">Status</t>
  </si>
  <si>
    <t xml:space="preserve">Site processed 14.1k on a plan of 14.6k</t>
  </si>
  <si>
    <t xml:space="preserve">Site processed 13.1k on a plan of 13.7k</t>
  </si>
  <si>
    <t xml:space="preserve">Site processed 13.0k on a plan of 12.9k</t>
  </si>
  <si>
    <t xml:space="preserve">Site processed 13.7k on a plan of 12.9k</t>
  </si>
  <si>
    <t xml:space="preserve">Site processed 15.1k on a plan of 15.0k</t>
  </si>
  <si>
    <t xml:space="preserve">Site processed 13.8k on a plan of 13.5k</t>
  </si>
  <si>
    <t xml:space="preserve">Site processed 12.4k on a plan of 12.4k</t>
  </si>
  <si>
    <t xml:space="preserve">Site processed 15.2k on a plan of 14.8k</t>
  </si>
  <si>
    <t xml:space="preserve">Site processed 15.1k on a plan of 14.6k</t>
  </si>
  <si>
    <t xml:space="preserve">Site processed 12.0k on a plan of 12.3k</t>
  </si>
  <si>
    <t xml:space="preserve">Site processed 13.5k on a plan of 13.9k</t>
  </si>
  <si>
    <t xml:space="preserve">Site processed 13.2k on a plan of 13.5k</t>
  </si>
  <si>
    <t xml:space="preserve">Site processed 14.8k on a plan of 14.8k</t>
  </si>
  <si>
    <t xml:space="preserve">Site processed 12.9k on a plan of 12.5k</t>
  </si>
  <si>
    <t xml:space="preserve">Process Path Bridges</t>
  </si>
  <si>
    <t xml:space="preserve">UPH &amp; labor hour variance by process path</t>
  </si>
  <si>
    <t xml:space="preserve">Enter a bridge for any process path that missed by &gt;5% to plan (94% or less)</t>
  </si>
  <si>
    <t xml:space="preserve">Process Path</t>
  </si>
  <si>
    <t xml:space="preserve">Act UPH</t>
  </si>
  <si>
    <t xml:space="preserve">Plan UPH</t>
  </si>
  <si>
    <t xml:space="preserve">UPH Var</t>
  </si>
  <si>
    <t xml:space="preserve">Act Hours</t>
  </si>
  <si>
    <t xml:space="preserve">Plan Hours</t>
  </si>
  <si>
    <t xml:space="preserve">Hrs Var</t>
  </si>
  <si>
    <t xml:space="preserve">Root Cause / Notes</t>
  </si>
  <si>
    <t xml:space="preserve">Unload</t>
  </si>
  <si>
    <t xml:space="preserve">Induct</t>
  </si>
  <si>
    <t xml:space="preserve">Pusher</t>
  </si>
  <si>
    <t xml:space="preserve">P2B</t>
  </si>
  <si>
    <t xml:space="preserve">Sort PS</t>
  </si>
  <si>
    <t xml:space="preserve">Stow</t>
  </si>
  <si>
    <t xml:space="preserve">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</si>
</sst>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0.00%"/>
    <numFmt numFmtId="168" formatCode="mmm\ dd"/>
    <numFmt numFmtId="169" formatCode="0.00"/>
    <numFmt numFmtId="170" formatCode="\+#,##0;\-#,##0;0"/>
    <numFmt numFmtId="171" formatCode="\+0.0;\-0.0;0.0"/>
    <numFmt numFmtId="172" formatCode="\+0.00;\-0.00;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9"/>
      <color rgb="FF7A7974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sz val="10"/>
      <color rgb="FF1E40AF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1F3864"/>
        <bgColor rgb="FF1E40A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/>
      <diagonal/>
    </border>
    <border diagonalUp="false" diagonalDown="false">
      <left style="thin">
        <color rgb="FFD4D1CA"/>
      </left>
      <right style="thin">
        <color rgb="FFD4D1CA"/>
      </right>
      <top/>
      <bottom/>
      <diagonal/>
    </border>
    <border diagonalUp="false" diagonalDown="false">
      <left style="thin">
        <color rgb="FFD4D1CA"/>
      </left>
      <right style="thin">
        <color rgb="FFD4D1CA"/>
      </right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0"/>
        <b val="1"/>
        <color rgb="FFA12C7B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64219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437A22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7A"/>
      <rgbColor rgb="FFD4D1CA"/>
      <rgbColor rgb="FF878787"/>
      <rgbColor rgb="FF9999FF"/>
      <rgbColor rgb="FFA12C7B"/>
      <rgbColor rgb="FFEE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C0504D"/>
      <rgbColor rgb="FF7A7974"/>
      <rgbColor rgb="FF4F81BD"/>
      <rgbColor rgb="FF1F3864"/>
      <rgbColor rgb="FF437A22"/>
      <rgbColor rgb="FF003300"/>
      <rgbColor rgb="FF333300"/>
      <rgbColor rgb="FF964219"/>
      <rgbColor rgb="FFBE4B48"/>
      <rgbColor rgb="FF1E40AF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Processed vs Planned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Daily_Data!B1</c:f>
              <c:strCache>
                <c:ptCount val="1"/>
                <c:pt idx="0">
                  <c:v>Planned Vol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Daily_Data!$A$2:$A$15</c:f>
              <c:strCache>
                <c:ptCount val="14"/>
                <c:pt idx="0">
                  <c:v>Jun 02</c:v>
                </c:pt>
                <c:pt idx="1">
                  <c:v>Jun 03</c:v>
                </c:pt>
                <c:pt idx="2">
                  <c:v>Jun 04</c:v>
                </c:pt>
                <c:pt idx="3">
                  <c:v>Jun 05</c:v>
                </c:pt>
                <c:pt idx="4">
                  <c:v>Jun 06</c:v>
                </c:pt>
                <c:pt idx="5">
                  <c:v>Jun 07</c:v>
                </c:pt>
                <c:pt idx="6">
                  <c:v>Jun 08</c:v>
                </c:pt>
                <c:pt idx="7">
                  <c:v>Jun 09</c:v>
                </c:pt>
                <c:pt idx="8">
                  <c:v>Jun 10</c:v>
                </c:pt>
                <c:pt idx="9">
                  <c:v>Jun 11</c:v>
                </c:pt>
                <c:pt idx="10">
                  <c:v>Jun 12</c:v>
                </c:pt>
                <c:pt idx="11">
                  <c:v>Jun 13</c:v>
                </c:pt>
                <c:pt idx="12">
                  <c:v>Jun 14</c:v>
                </c:pt>
                <c:pt idx="13">
                  <c:v>Jun 15</c:v>
                </c:pt>
              </c:strCache>
            </c:strRef>
          </c:cat>
          <c:val>
            <c:numRef>
              <c:f>Daily_Data!$B$2:$B$15</c:f>
              <c:numCache>
                <c:formatCode>#,##0</c:formatCode>
                <c:ptCount val="14"/>
                <c:pt idx="0">
                  <c:v>14619</c:v>
                </c:pt>
                <c:pt idx="1">
                  <c:v>13728</c:v>
                </c:pt>
                <c:pt idx="2">
                  <c:v>12902</c:v>
                </c:pt>
                <c:pt idx="3">
                  <c:v>12881</c:v>
                </c:pt>
                <c:pt idx="4">
                  <c:v>14988</c:v>
                </c:pt>
                <c:pt idx="5">
                  <c:v>13481</c:v>
                </c:pt>
                <c:pt idx="6">
                  <c:v>12413</c:v>
                </c:pt>
                <c:pt idx="7">
                  <c:v>14799</c:v>
                </c:pt>
                <c:pt idx="8">
                  <c:v>14621</c:v>
                </c:pt>
                <c:pt idx="9">
                  <c:v>12271</c:v>
                </c:pt>
                <c:pt idx="10">
                  <c:v>13879</c:v>
                </c:pt>
                <c:pt idx="11">
                  <c:v>13482</c:v>
                </c:pt>
                <c:pt idx="12">
                  <c:v>14787</c:v>
                </c:pt>
                <c:pt idx="13">
                  <c:v>12469</c:v>
                </c:pt>
              </c:numCache>
            </c:numRef>
          </c:val>
        </c:ser>
        <c:ser>
          <c:idx val="1"/>
          <c:order val="1"/>
          <c:tx>
            <c:strRef>
              <c:f>Daily_Data!C1</c:f>
              <c:strCache>
                <c:ptCount val="1"/>
                <c:pt idx="0">
                  <c:v>Processed Vol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Daily_Data!$A$2:$A$15</c:f>
              <c:strCache>
                <c:ptCount val="14"/>
                <c:pt idx="0">
                  <c:v>Jun 02</c:v>
                </c:pt>
                <c:pt idx="1">
                  <c:v>Jun 03</c:v>
                </c:pt>
                <c:pt idx="2">
                  <c:v>Jun 04</c:v>
                </c:pt>
                <c:pt idx="3">
                  <c:v>Jun 05</c:v>
                </c:pt>
                <c:pt idx="4">
                  <c:v>Jun 06</c:v>
                </c:pt>
                <c:pt idx="5">
                  <c:v>Jun 07</c:v>
                </c:pt>
                <c:pt idx="6">
                  <c:v>Jun 08</c:v>
                </c:pt>
                <c:pt idx="7">
                  <c:v>Jun 09</c:v>
                </c:pt>
                <c:pt idx="8">
                  <c:v>Jun 10</c:v>
                </c:pt>
                <c:pt idx="9">
                  <c:v>Jun 11</c:v>
                </c:pt>
                <c:pt idx="10">
                  <c:v>Jun 12</c:v>
                </c:pt>
                <c:pt idx="11">
                  <c:v>Jun 13</c:v>
                </c:pt>
                <c:pt idx="12">
                  <c:v>Jun 14</c:v>
                </c:pt>
                <c:pt idx="13">
                  <c:v>Jun 15</c:v>
                </c:pt>
              </c:strCache>
            </c:strRef>
          </c:cat>
          <c:val>
            <c:numRef>
              <c:f>Daily_Data!$C$2:$C$15</c:f>
              <c:numCache>
                <c:formatCode>#,##0</c:formatCode>
                <c:ptCount val="14"/>
                <c:pt idx="0">
                  <c:v>14113</c:v>
                </c:pt>
                <c:pt idx="1">
                  <c:v>13121</c:v>
                </c:pt>
                <c:pt idx="2">
                  <c:v>12978</c:v>
                </c:pt>
                <c:pt idx="3">
                  <c:v>13742</c:v>
                </c:pt>
                <c:pt idx="4">
                  <c:v>15095</c:v>
                </c:pt>
                <c:pt idx="5">
                  <c:v>13768</c:v>
                </c:pt>
                <c:pt idx="6">
                  <c:v>12383</c:v>
                </c:pt>
                <c:pt idx="7">
                  <c:v>15239</c:v>
                </c:pt>
                <c:pt idx="8">
                  <c:v>15127</c:v>
                </c:pt>
                <c:pt idx="9">
                  <c:v>11993</c:v>
                </c:pt>
                <c:pt idx="10">
                  <c:v>13451</c:v>
                </c:pt>
                <c:pt idx="11">
                  <c:v>13190</c:v>
                </c:pt>
                <c:pt idx="12">
                  <c:v>14826</c:v>
                </c:pt>
                <c:pt idx="13">
                  <c:v>12891</c:v>
                </c:pt>
              </c:numCache>
            </c:numRef>
          </c:val>
        </c:ser>
        <c:gapWidth val="150"/>
        <c:overlap val="0"/>
        <c:axId val="35168531"/>
        <c:axId val="94960502"/>
      </c:barChart>
      <c:catAx>
        <c:axId val="35168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60502"/>
        <c:crosses val="autoZero"/>
        <c:auto val="1"/>
        <c:lblAlgn val="ctr"/>
        <c:lblOffset val="100"/>
        <c:noMultiLvlLbl val="0"/>
      </c:catAx>
      <c:valAx>
        <c:axId val="94960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1685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Sort TPH: Actual vs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Daily_Data!D1</c:f>
              <c:strCache>
                <c:ptCount val="1"/>
                <c:pt idx="0">
                  <c:v>TPH Plan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Daily_Data!$A$2:$A$15</c:f>
              <c:strCache>
                <c:ptCount val="14"/>
                <c:pt idx="0">
                  <c:v>Jun 02</c:v>
                </c:pt>
                <c:pt idx="1">
                  <c:v>Jun 03</c:v>
                </c:pt>
                <c:pt idx="2">
                  <c:v>Jun 04</c:v>
                </c:pt>
                <c:pt idx="3">
                  <c:v>Jun 05</c:v>
                </c:pt>
                <c:pt idx="4">
                  <c:v>Jun 06</c:v>
                </c:pt>
                <c:pt idx="5">
                  <c:v>Jun 07</c:v>
                </c:pt>
                <c:pt idx="6">
                  <c:v>Jun 08</c:v>
                </c:pt>
                <c:pt idx="7">
                  <c:v>Jun 09</c:v>
                </c:pt>
                <c:pt idx="8">
                  <c:v>Jun 10</c:v>
                </c:pt>
                <c:pt idx="9">
                  <c:v>Jun 11</c:v>
                </c:pt>
                <c:pt idx="10">
                  <c:v>Jun 12</c:v>
                </c:pt>
                <c:pt idx="11">
                  <c:v>Jun 13</c:v>
                </c:pt>
                <c:pt idx="12">
                  <c:v>Jun 14</c:v>
                </c:pt>
                <c:pt idx="13">
                  <c:v>Jun 15</c:v>
                </c:pt>
              </c:strCache>
            </c:strRef>
          </c:cat>
          <c:val>
            <c:numRef>
              <c:f>Daily_Data!$D$2:$D$15</c:f>
              <c:numCache>
                <c:formatCode>#,##0.0</c:formatCode>
                <c:ptCount val="14"/>
                <c:pt idx="0">
                  <c:v>102.42</c:v>
                </c:pt>
                <c:pt idx="1">
                  <c:v>95.94</c:v>
                </c:pt>
                <c:pt idx="2">
                  <c:v>97.78</c:v>
                </c:pt>
                <c:pt idx="3">
                  <c:v>98.37</c:v>
                </c:pt>
                <c:pt idx="4">
                  <c:v>96.25</c:v>
                </c:pt>
                <c:pt idx="5">
                  <c:v>102.05</c:v>
                </c:pt>
                <c:pt idx="6">
                  <c:v>99.53</c:v>
                </c:pt>
                <c:pt idx="7">
                  <c:v>101.09</c:v>
                </c:pt>
                <c:pt idx="8">
                  <c:v>97.2</c:v>
                </c:pt>
                <c:pt idx="9">
                  <c:v>104.43</c:v>
                </c:pt>
                <c:pt idx="10">
                  <c:v>96.4</c:v>
                </c:pt>
                <c:pt idx="11">
                  <c:v>104.98</c:v>
                </c:pt>
                <c:pt idx="12">
                  <c:v>95.64</c:v>
                </c:pt>
                <c:pt idx="13">
                  <c:v>100.37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Daily_Data!E1</c:f>
              <c:strCache>
                <c:ptCount val="1"/>
                <c:pt idx="0">
                  <c:v>Sort TPH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Daily_Data!$A$2:$A$15</c:f>
              <c:strCache>
                <c:ptCount val="14"/>
                <c:pt idx="0">
                  <c:v>Jun 02</c:v>
                </c:pt>
                <c:pt idx="1">
                  <c:v>Jun 03</c:v>
                </c:pt>
                <c:pt idx="2">
                  <c:v>Jun 04</c:v>
                </c:pt>
                <c:pt idx="3">
                  <c:v>Jun 05</c:v>
                </c:pt>
                <c:pt idx="4">
                  <c:v>Jun 06</c:v>
                </c:pt>
                <c:pt idx="5">
                  <c:v>Jun 07</c:v>
                </c:pt>
                <c:pt idx="6">
                  <c:v>Jun 08</c:v>
                </c:pt>
                <c:pt idx="7">
                  <c:v>Jun 09</c:v>
                </c:pt>
                <c:pt idx="8">
                  <c:v>Jun 10</c:v>
                </c:pt>
                <c:pt idx="9">
                  <c:v>Jun 11</c:v>
                </c:pt>
                <c:pt idx="10">
                  <c:v>Jun 12</c:v>
                </c:pt>
                <c:pt idx="11">
                  <c:v>Jun 13</c:v>
                </c:pt>
                <c:pt idx="12">
                  <c:v>Jun 14</c:v>
                </c:pt>
                <c:pt idx="13">
                  <c:v>Jun 15</c:v>
                </c:pt>
              </c:strCache>
            </c:strRef>
          </c:cat>
          <c:val>
            <c:numRef>
              <c:f>Daily_Data!$E$2:$E$15</c:f>
              <c:numCache>
                <c:formatCode>#,##0.0</c:formatCode>
                <c:ptCount val="14"/>
                <c:pt idx="0">
                  <c:v>100.32</c:v>
                </c:pt>
                <c:pt idx="1">
                  <c:v>93.85</c:v>
                </c:pt>
                <c:pt idx="2">
                  <c:v>101.88</c:v>
                </c:pt>
                <c:pt idx="3">
                  <c:v>94.86</c:v>
                </c:pt>
                <c:pt idx="4">
                  <c:v>100.8</c:v>
                </c:pt>
                <c:pt idx="5">
                  <c:v>97.93</c:v>
                </c:pt>
                <c:pt idx="6">
                  <c:v>103.35</c:v>
                </c:pt>
                <c:pt idx="7">
                  <c:v>98.27</c:v>
                </c:pt>
                <c:pt idx="8">
                  <c:v>95.98</c:v>
                </c:pt>
                <c:pt idx="9">
                  <c:v>108.88</c:v>
                </c:pt>
                <c:pt idx="10">
                  <c:v>99.24</c:v>
                </c:pt>
                <c:pt idx="11">
                  <c:v>105.6</c:v>
                </c:pt>
                <c:pt idx="12">
                  <c:v>94.99</c:v>
                </c:pt>
                <c:pt idx="13">
                  <c:v>98.53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045810"/>
        <c:axId val="97280996"/>
      </c:lineChart>
      <c:catAx>
        <c:axId val="90045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280996"/>
        <c:crosses val="autoZero"/>
        <c:auto val="1"/>
        <c:lblAlgn val="ctr"/>
        <c:lblOffset val="100"/>
        <c:noMultiLvlLbl val="0"/>
      </c:catAx>
      <c:valAx>
        <c:axId val="972809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0458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SSP &amp; WIP Compliance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Daily_Data!F1</c:f>
              <c:strCache>
                <c:ptCount val="1"/>
                <c:pt idx="0">
                  <c:v>SSP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Daily_Data!$A$2:$A$15</c:f>
              <c:strCache>
                <c:ptCount val="14"/>
                <c:pt idx="0">
                  <c:v>Jun 02</c:v>
                </c:pt>
                <c:pt idx="1">
                  <c:v>Jun 03</c:v>
                </c:pt>
                <c:pt idx="2">
                  <c:v>Jun 04</c:v>
                </c:pt>
                <c:pt idx="3">
                  <c:v>Jun 05</c:v>
                </c:pt>
                <c:pt idx="4">
                  <c:v>Jun 06</c:v>
                </c:pt>
                <c:pt idx="5">
                  <c:v>Jun 07</c:v>
                </c:pt>
                <c:pt idx="6">
                  <c:v>Jun 08</c:v>
                </c:pt>
                <c:pt idx="7">
                  <c:v>Jun 09</c:v>
                </c:pt>
                <c:pt idx="8">
                  <c:v>Jun 10</c:v>
                </c:pt>
                <c:pt idx="9">
                  <c:v>Jun 11</c:v>
                </c:pt>
                <c:pt idx="10">
                  <c:v>Jun 12</c:v>
                </c:pt>
                <c:pt idx="11">
                  <c:v>Jun 13</c:v>
                </c:pt>
                <c:pt idx="12">
                  <c:v>Jun 14</c:v>
                </c:pt>
                <c:pt idx="13">
                  <c:v>Jun 15</c:v>
                </c:pt>
              </c:strCache>
            </c:strRef>
          </c:cat>
          <c:val>
            <c:numRef>
              <c:f>Daily_Data!$F$2:$F$15</c:f>
              <c:numCache>
                <c:formatCode>0.00%</c:formatCode>
                <c:ptCount val="14"/>
                <c:pt idx="0">
                  <c:v>0.9957</c:v>
                </c:pt>
                <c:pt idx="1">
                  <c:v>0.998</c:v>
                </c:pt>
                <c:pt idx="2">
                  <c:v>0.9988</c:v>
                </c:pt>
                <c:pt idx="3">
                  <c:v>0.9955</c:v>
                </c:pt>
                <c:pt idx="4">
                  <c:v>0.9954</c:v>
                </c:pt>
                <c:pt idx="5">
                  <c:v>0.9961</c:v>
                </c:pt>
                <c:pt idx="6">
                  <c:v>0.9958</c:v>
                </c:pt>
                <c:pt idx="7">
                  <c:v>0.9986</c:v>
                </c:pt>
                <c:pt idx="8">
                  <c:v>0.9988</c:v>
                </c:pt>
                <c:pt idx="9">
                  <c:v>0.9966</c:v>
                </c:pt>
                <c:pt idx="10">
                  <c:v>0.9977</c:v>
                </c:pt>
                <c:pt idx="11">
                  <c:v>0.9955</c:v>
                </c:pt>
                <c:pt idx="12">
                  <c:v>1</c:v>
                </c:pt>
                <c:pt idx="13">
                  <c:v>0.9982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Daily_Data!G1</c:f>
              <c:strCache>
                <c:ptCount val="1"/>
                <c:pt idx="0">
                  <c:v>WIP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Daily_Data!$A$2:$A$15</c:f>
              <c:strCache>
                <c:ptCount val="14"/>
                <c:pt idx="0">
                  <c:v>Jun 02</c:v>
                </c:pt>
                <c:pt idx="1">
                  <c:v>Jun 03</c:v>
                </c:pt>
                <c:pt idx="2">
                  <c:v>Jun 04</c:v>
                </c:pt>
                <c:pt idx="3">
                  <c:v>Jun 05</c:v>
                </c:pt>
                <c:pt idx="4">
                  <c:v>Jun 06</c:v>
                </c:pt>
                <c:pt idx="5">
                  <c:v>Jun 07</c:v>
                </c:pt>
                <c:pt idx="6">
                  <c:v>Jun 08</c:v>
                </c:pt>
                <c:pt idx="7">
                  <c:v>Jun 09</c:v>
                </c:pt>
                <c:pt idx="8">
                  <c:v>Jun 10</c:v>
                </c:pt>
                <c:pt idx="9">
                  <c:v>Jun 11</c:v>
                </c:pt>
                <c:pt idx="10">
                  <c:v>Jun 12</c:v>
                </c:pt>
                <c:pt idx="11">
                  <c:v>Jun 13</c:v>
                </c:pt>
                <c:pt idx="12">
                  <c:v>Jun 14</c:v>
                </c:pt>
                <c:pt idx="13">
                  <c:v>Jun 15</c:v>
                </c:pt>
              </c:strCache>
            </c:strRef>
          </c:cat>
          <c:val>
            <c:numRef>
              <c:f>Daily_Data!$G$2:$G$15</c:f>
              <c:numCache>
                <c:formatCode>0.00%</c:formatCode>
                <c:ptCount val="14"/>
                <c:pt idx="0">
                  <c:v>0.982</c:v>
                </c:pt>
                <c:pt idx="1">
                  <c:v>0.9912</c:v>
                </c:pt>
                <c:pt idx="2">
                  <c:v>0.9832</c:v>
                </c:pt>
                <c:pt idx="3">
                  <c:v>0.9969</c:v>
                </c:pt>
                <c:pt idx="4">
                  <c:v>0.9859</c:v>
                </c:pt>
                <c:pt idx="5">
                  <c:v>0.9858</c:v>
                </c:pt>
                <c:pt idx="6">
                  <c:v>0.9871</c:v>
                </c:pt>
                <c:pt idx="7">
                  <c:v>0.9833</c:v>
                </c:pt>
                <c:pt idx="8">
                  <c:v>0.9811</c:v>
                </c:pt>
                <c:pt idx="9">
                  <c:v>0.9931</c:v>
                </c:pt>
                <c:pt idx="10">
                  <c:v>0.9949</c:v>
                </c:pt>
                <c:pt idx="11">
                  <c:v>0.9809</c:v>
                </c:pt>
                <c:pt idx="12">
                  <c:v>0.9906</c:v>
                </c:pt>
                <c:pt idx="13">
                  <c:v>0.9822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791990"/>
        <c:axId val="58901082"/>
      </c:lineChart>
      <c:catAx>
        <c:axId val="30791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901082"/>
        <c:crosses val="autoZero"/>
        <c:auto val="1"/>
        <c:lblAlgn val="ctr"/>
        <c:lblOffset val="100"/>
        <c:noMultiLvlLbl val="0"/>
      </c:catAx>
      <c:valAx>
        <c:axId val="58901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Percent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919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UPH Variance by Process Path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Bridges!E7</c:f>
              <c:strCache>
                <c:ptCount val="1"/>
                <c:pt idx="0">
                  <c:v>UPH Var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Bridges!$B$8:$B$13</c:f>
              <c:strCache>
                <c:ptCount val="6"/>
                <c:pt idx="0">
                  <c:v>Unload</c:v>
                </c:pt>
                <c:pt idx="1">
                  <c:v>Induct</c:v>
                </c:pt>
                <c:pt idx="2">
                  <c:v>Pusher</c:v>
                </c:pt>
                <c:pt idx="3">
                  <c:v>P2B</c:v>
                </c:pt>
                <c:pt idx="4">
                  <c:v>Sort PS</c:v>
                </c:pt>
                <c:pt idx="5">
                  <c:v>Stow</c:v>
                </c:pt>
              </c:strCache>
            </c:strRef>
          </c:cat>
          <c:val>
            <c:numRef>
              <c:f>Bridges!$E$8:$E$13</c:f>
              <c:numCache>
                <c:formatCode>\+#,##0;\-#,##0;0</c:formatCode>
                <c:ptCount val="6"/>
                <c:pt idx="0">
                  <c:v>71</c:v>
                </c:pt>
                <c:pt idx="1">
                  <c:v>-26</c:v>
                </c:pt>
                <c:pt idx="2">
                  <c:v>-28</c:v>
                </c:pt>
                <c:pt idx="3">
                  <c:v>23</c:v>
                </c:pt>
                <c:pt idx="4">
                  <c:v>8</c:v>
                </c:pt>
                <c:pt idx="5">
                  <c:v>-8</c:v>
                </c:pt>
              </c:numCache>
            </c:numRef>
          </c:val>
        </c:ser>
        <c:gapWidth val="150"/>
        <c:overlap val="0"/>
        <c:axId val="88537664"/>
        <c:axId val="12476335"/>
      </c:barChart>
      <c:catAx>
        <c:axId val="8853766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UPH Variance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476335"/>
        <c:crosses val="autoZero"/>
        <c:auto val="1"/>
        <c:lblAlgn val="ctr"/>
        <c:lblOffset val="100"/>
        <c:noMultiLvlLbl val="0"/>
      </c:catAx>
      <c:valAx>
        <c:axId val="12476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Process Path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5376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7</xdr:col>
      <xdr:colOff>558720</xdr:colOff>
      <xdr:row>28</xdr:row>
      <xdr:rowOff>1080</xdr:rowOff>
    </xdr:to>
    <xdr:graphicFrame>
      <xdr:nvGraphicFramePr>
        <xdr:cNvPr id="1" name="Chart 1"/>
        <xdr:cNvGraphicFramePr/>
      </xdr:nvGraphicFramePr>
      <xdr:xfrm>
        <a:off x="211320" y="2243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558720</xdr:colOff>
      <xdr:row>46</xdr:row>
      <xdr:rowOff>1080</xdr:rowOff>
    </xdr:to>
    <xdr:graphicFrame>
      <xdr:nvGraphicFramePr>
        <xdr:cNvPr id="2" name="Chart 2"/>
        <xdr:cNvGraphicFramePr/>
      </xdr:nvGraphicFramePr>
      <xdr:xfrm>
        <a:off x="211320" y="5672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11</xdr:row>
      <xdr:rowOff>0</xdr:rowOff>
    </xdr:from>
    <xdr:to>
      <xdr:col>13</xdr:col>
      <xdr:colOff>111240</xdr:colOff>
      <xdr:row>28</xdr:row>
      <xdr:rowOff>1080</xdr:rowOff>
    </xdr:to>
    <xdr:graphicFrame>
      <xdr:nvGraphicFramePr>
        <xdr:cNvPr id="3" name="Chart 3"/>
        <xdr:cNvGraphicFramePr/>
      </xdr:nvGraphicFramePr>
      <xdr:xfrm>
        <a:off x="4158720" y="2243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8</xdr:col>
      <xdr:colOff>276840</xdr:colOff>
      <xdr:row>34</xdr:row>
      <xdr:rowOff>170640</xdr:rowOff>
    </xdr:to>
    <xdr:graphicFrame>
      <xdr:nvGraphicFramePr>
        <xdr:cNvPr id="4" name="Chart 1"/>
        <xdr:cNvGraphicFramePr/>
      </xdr:nvGraphicFramePr>
      <xdr:xfrm>
        <a:off x="211320" y="31813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J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4"/>
    <col collapsed="false" customWidth="true" hidden="false" outlineLevel="0" max="11" min="11" style="0" width="3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5" hidden="false" customHeight="false" outlineLevel="0" collapsed="false">
      <c r="B6" s="4" t="n">
        <f aca="false">SUM(Daily_Data!C2:C15)</f>
        <v>191917</v>
      </c>
      <c r="C6" s="4"/>
      <c r="D6" s="5" t="n">
        <f aca="false">AVERAGE(Daily_Data!E2:E15)</f>
        <v>99.6057142857143</v>
      </c>
      <c r="E6" s="5"/>
      <c r="F6" s="6" t="n">
        <f aca="false">AVERAGE(Daily_Data!F2:F15)</f>
        <v>0.997192857142857</v>
      </c>
      <c r="G6" s="6"/>
      <c r="H6" s="6" t="n">
        <f aca="false">AVERAGE(Daily_Data!G2:G15)</f>
        <v>0.987014285714286</v>
      </c>
      <c r="I6" s="6"/>
    </row>
    <row r="7" customFormat="false" ht="15" hidden="false" customHeight="false" outlineLevel="0" collapsed="false">
      <c r="B7" s="4"/>
      <c r="C7" s="4"/>
      <c r="D7" s="5"/>
      <c r="E7" s="5"/>
      <c r="F7" s="6"/>
      <c r="G7" s="6"/>
      <c r="H7" s="6"/>
      <c r="I7" s="6"/>
    </row>
    <row r="8" customFormat="false" ht="15" hidden="false" customHeight="false" outlineLevel="0" collapsed="false">
      <c r="B8" s="7" t="str">
        <f aca="false">SUM(Daily_Data!C2:C15)-SUM(Daily_Data!B2:B15)&amp;" vs planned"</f>
        <v>597 vs planned</v>
      </c>
      <c r="C8" s="7"/>
      <c r="D8" s="7" t="str">
        <f aca="false">"Plan "&amp;TEXT(AVERAGE(Daily_Data!D2:D15),"0.0")</f>
        <v>Plan 99.5</v>
      </c>
      <c r="E8" s="7"/>
      <c r="F8" s="7" t="s">
        <v>6</v>
      </c>
      <c r="G8" s="7"/>
      <c r="H8" s="7" t="str">
        <f aca="false">"14 shifts logged"</f>
        <v>14 shifts logged</v>
      </c>
      <c r="I8" s="7"/>
    </row>
    <row r="10" customFormat="false" ht="16.15" hidden="false" customHeight="false" outlineLevel="0" collapsed="false">
      <c r="B10" s="8" t="s">
        <v>7</v>
      </c>
      <c r="C10" s="8"/>
      <c r="D10" s="8"/>
      <c r="E10" s="8"/>
      <c r="F10" s="8"/>
      <c r="G10" s="8"/>
      <c r="H10" s="8"/>
      <c r="I10" s="8"/>
      <c r="J10" s="8"/>
    </row>
  </sheetData>
  <mergeCells count="15">
    <mergeCell ref="B2:J2"/>
    <mergeCell ref="B3:J3"/>
    <mergeCell ref="B5:C5"/>
    <mergeCell ref="D5:E5"/>
    <mergeCell ref="F5:G5"/>
    <mergeCell ref="H5:I5"/>
    <mergeCell ref="B6:C7"/>
    <mergeCell ref="D6:E7"/>
    <mergeCell ref="F6:G7"/>
    <mergeCell ref="H6:I7"/>
    <mergeCell ref="B8:C8"/>
    <mergeCell ref="D8:E8"/>
    <mergeCell ref="F8:G8"/>
    <mergeCell ref="H8:I8"/>
    <mergeCell ref="B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7A"/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  <c r="L1" s="9" t="s">
        <v>19</v>
      </c>
      <c r="M1" s="9" t="s">
        <v>20</v>
      </c>
    </row>
    <row r="2" customFormat="false" ht="15" hidden="false" customHeight="false" outlineLevel="0" collapsed="false">
      <c r="A2" s="10" t="n">
        <v>45810</v>
      </c>
      <c r="B2" s="11" t="n">
        <v>14619</v>
      </c>
      <c r="C2" s="11" t="n">
        <v>14113</v>
      </c>
      <c r="D2" s="12" t="n">
        <v>102.42</v>
      </c>
      <c r="E2" s="12" t="n">
        <v>100.32</v>
      </c>
      <c r="F2" s="13" t="n">
        <v>0.9957</v>
      </c>
      <c r="G2" s="13" t="n">
        <v>0.982</v>
      </c>
      <c r="H2" s="14" t="n">
        <v>2</v>
      </c>
      <c r="I2" s="15" t="n">
        <v>1.86</v>
      </c>
      <c r="J2" s="16" t="s">
        <v>21</v>
      </c>
      <c r="K2" s="17" t="n">
        <f aca="false">C2-B2</f>
        <v>-506</v>
      </c>
      <c r="L2" s="18" t="n">
        <f aca="false">E2-D2</f>
        <v>-2.10000000000001</v>
      </c>
      <c r="M2" s="19" t="str">
        <f aca="false">IF(OR(K2/B2&lt;-0.05,L2/D2&lt;-0.05),"Miss",IF(OR(K2&lt;0,L2&lt;0),"Below","Hit"))</f>
        <v>Below</v>
      </c>
    </row>
    <row r="3" customFormat="false" ht="15" hidden="false" customHeight="false" outlineLevel="0" collapsed="false">
      <c r="A3" s="10" t="n">
        <v>45811</v>
      </c>
      <c r="B3" s="11" t="n">
        <v>13728</v>
      </c>
      <c r="C3" s="11" t="n">
        <v>13121</v>
      </c>
      <c r="D3" s="12" t="n">
        <v>95.94</v>
      </c>
      <c r="E3" s="12" t="n">
        <v>93.85</v>
      </c>
      <c r="F3" s="13" t="n">
        <v>0.998</v>
      </c>
      <c r="G3" s="13" t="n">
        <v>0.9912</v>
      </c>
      <c r="H3" s="14" t="n">
        <v>2</v>
      </c>
      <c r="I3" s="15" t="n">
        <v>2.18</v>
      </c>
      <c r="J3" s="16" t="s">
        <v>22</v>
      </c>
      <c r="K3" s="17" t="n">
        <f aca="false">C3-B3</f>
        <v>-607</v>
      </c>
      <c r="L3" s="18" t="n">
        <f aca="false">E3-D3</f>
        <v>-2.09</v>
      </c>
      <c r="M3" s="19" t="str">
        <f aca="false">IF(OR(K3/B3&lt;-0.05,L3/D3&lt;-0.05),"Miss",IF(OR(K3&lt;0,L3&lt;0),"Below","Hit"))</f>
        <v>Below</v>
      </c>
    </row>
    <row r="4" customFormat="false" ht="15" hidden="false" customHeight="false" outlineLevel="0" collapsed="false">
      <c r="A4" s="10" t="n">
        <v>45812</v>
      </c>
      <c r="B4" s="11" t="n">
        <v>12902</v>
      </c>
      <c r="C4" s="11" t="n">
        <v>12978</v>
      </c>
      <c r="D4" s="12" t="n">
        <v>97.78</v>
      </c>
      <c r="E4" s="12" t="n">
        <v>101.88</v>
      </c>
      <c r="F4" s="13" t="n">
        <v>0.9988</v>
      </c>
      <c r="G4" s="13" t="n">
        <v>0.9832</v>
      </c>
      <c r="H4" s="14" t="n">
        <v>0</v>
      </c>
      <c r="I4" s="15" t="n">
        <v>1.99</v>
      </c>
      <c r="J4" s="16" t="s">
        <v>23</v>
      </c>
      <c r="K4" s="17" t="n">
        <f aca="false">C4-B4</f>
        <v>76</v>
      </c>
      <c r="L4" s="18" t="n">
        <f aca="false">E4-D4</f>
        <v>4.09999999999999</v>
      </c>
      <c r="M4" s="19" t="str">
        <f aca="false">IF(OR(K4/B4&lt;-0.05,L4/D4&lt;-0.05),"Miss",IF(OR(K4&lt;0,L4&lt;0),"Below","Hit"))</f>
        <v>Hit</v>
      </c>
    </row>
    <row r="5" customFormat="false" ht="15" hidden="false" customHeight="false" outlineLevel="0" collapsed="false">
      <c r="A5" s="10" t="n">
        <v>45813</v>
      </c>
      <c r="B5" s="11" t="n">
        <v>12881</v>
      </c>
      <c r="C5" s="11" t="n">
        <v>13742</v>
      </c>
      <c r="D5" s="12" t="n">
        <v>98.37</v>
      </c>
      <c r="E5" s="12" t="n">
        <v>94.86</v>
      </c>
      <c r="F5" s="13" t="n">
        <v>0.9955</v>
      </c>
      <c r="G5" s="13" t="n">
        <v>0.9969</v>
      </c>
      <c r="H5" s="14" t="n">
        <v>0</v>
      </c>
      <c r="I5" s="15" t="n">
        <v>2.36</v>
      </c>
      <c r="J5" s="16" t="s">
        <v>24</v>
      </c>
      <c r="K5" s="17" t="n">
        <f aca="false">C5-B5</f>
        <v>861</v>
      </c>
      <c r="L5" s="18" t="n">
        <f aca="false">E5-D5</f>
        <v>-3.51000000000001</v>
      </c>
      <c r="M5" s="19" t="str">
        <f aca="false">IF(OR(K5/B5&lt;-0.05,L5/D5&lt;-0.05),"Miss",IF(OR(K5&lt;0,L5&lt;0),"Below","Hit"))</f>
        <v>Below</v>
      </c>
    </row>
    <row r="6" customFormat="false" ht="15" hidden="false" customHeight="false" outlineLevel="0" collapsed="false">
      <c r="A6" s="10" t="n">
        <v>45814</v>
      </c>
      <c r="B6" s="11" t="n">
        <v>14988</v>
      </c>
      <c r="C6" s="11" t="n">
        <v>15095</v>
      </c>
      <c r="D6" s="12" t="n">
        <v>96.25</v>
      </c>
      <c r="E6" s="12" t="n">
        <v>100.8</v>
      </c>
      <c r="F6" s="13" t="n">
        <v>0.9954</v>
      </c>
      <c r="G6" s="13" t="n">
        <v>0.9859</v>
      </c>
      <c r="H6" s="14" t="n">
        <v>0</v>
      </c>
      <c r="I6" s="15" t="n">
        <v>2.42</v>
      </c>
      <c r="J6" s="16" t="s">
        <v>25</v>
      </c>
      <c r="K6" s="17" t="n">
        <f aca="false">C6-B6</f>
        <v>107</v>
      </c>
      <c r="L6" s="18" t="n">
        <f aca="false">E6-D6</f>
        <v>4.55</v>
      </c>
      <c r="M6" s="19" t="str">
        <f aca="false">IF(OR(K6/B6&lt;-0.05,L6/D6&lt;-0.05),"Miss",IF(OR(K6&lt;0,L6&lt;0),"Below","Hit"))</f>
        <v>Hit</v>
      </c>
    </row>
    <row r="7" customFormat="false" ht="15" hidden="false" customHeight="false" outlineLevel="0" collapsed="false">
      <c r="A7" s="10" t="n">
        <v>45815</v>
      </c>
      <c r="B7" s="11" t="n">
        <v>13481</v>
      </c>
      <c r="C7" s="11" t="n">
        <v>13768</v>
      </c>
      <c r="D7" s="12" t="n">
        <v>102.05</v>
      </c>
      <c r="E7" s="12" t="n">
        <v>97.93</v>
      </c>
      <c r="F7" s="13" t="n">
        <v>0.9961</v>
      </c>
      <c r="G7" s="13" t="n">
        <v>0.9858</v>
      </c>
      <c r="H7" s="14" t="n">
        <v>0</v>
      </c>
      <c r="I7" s="15" t="n">
        <v>1.96</v>
      </c>
      <c r="J7" s="16" t="s">
        <v>26</v>
      </c>
      <c r="K7" s="17" t="n">
        <f aca="false">C7-B7</f>
        <v>287</v>
      </c>
      <c r="L7" s="18" t="n">
        <f aca="false">E7-D7</f>
        <v>-4.11999999999999</v>
      </c>
      <c r="M7" s="19" t="str">
        <f aca="false">IF(OR(K7/B7&lt;-0.05,L7/D7&lt;-0.05),"Miss",IF(OR(K7&lt;0,L7&lt;0),"Below","Hit"))</f>
        <v>Below</v>
      </c>
    </row>
    <row r="8" customFormat="false" ht="15" hidden="false" customHeight="false" outlineLevel="0" collapsed="false">
      <c r="A8" s="10" t="n">
        <v>45816</v>
      </c>
      <c r="B8" s="11" t="n">
        <v>12413</v>
      </c>
      <c r="C8" s="11" t="n">
        <v>12383</v>
      </c>
      <c r="D8" s="12" t="n">
        <v>99.53</v>
      </c>
      <c r="E8" s="12" t="n">
        <v>103.35</v>
      </c>
      <c r="F8" s="13" t="n">
        <v>0.9958</v>
      </c>
      <c r="G8" s="13" t="n">
        <v>0.9871</v>
      </c>
      <c r="H8" s="14" t="n">
        <v>0</v>
      </c>
      <c r="I8" s="15" t="n">
        <v>2.29</v>
      </c>
      <c r="J8" s="16" t="s">
        <v>27</v>
      </c>
      <c r="K8" s="17" t="n">
        <f aca="false">C8-B8</f>
        <v>-30</v>
      </c>
      <c r="L8" s="18" t="n">
        <f aca="false">E8-D8</f>
        <v>3.81999999999999</v>
      </c>
      <c r="M8" s="19" t="str">
        <f aca="false">IF(OR(K8/B8&lt;-0.05,L8/D8&lt;-0.05),"Miss",IF(OR(K8&lt;0,L8&lt;0),"Below","Hit"))</f>
        <v>Below</v>
      </c>
    </row>
    <row r="9" customFormat="false" ht="15" hidden="false" customHeight="false" outlineLevel="0" collapsed="false">
      <c r="A9" s="10" t="n">
        <v>45817</v>
      </c>
      <c r="B9" s="11" t="n">
        <v>14799</v>
      </c>
      <c r="C9" s="11" t="n">
        <v>15239</v>
      </c>
      <c r="D9" s="12" t="n">
        <v>101.09</v>
      </c>
      <c r="E9" s="12" t="n">
        <v>98.27</v>
      </c>
      <c r="F9" s="13" t="n">
        <v>0.9986</v>
      </c>
      <c r="G9" s="13" t="n">
        <v>0.9833</v>
      </c>
      <c r="H9" s="14" t="n">
        <v>0</v>
      </c>
      <c r="I9" s="15" t="n">
        <v>2.49</v>
      </c>
      <c r="J9" s="16" t="s">
        <v>28</v>
      </c>
      <c r="K9" s="17" t="n">
        <f aca="false">C9-B9</f>
        <v>440</v>
      </c>
      <c r="L9" s="18" t="n">
        <f aca="false">E9-D9</f>
        <v>-2.82000000000001</v>
      </c>
      <c r="M9" s="19" t="str">
        <f aca="false">IF(OR(K9/B9&lt;-0.05,L9/D9&lt;-0.05),"Miss",IF(OR(K9&lt;0,L9&lt;0),"Below","Hit"))</f>
        <v>Below</v>
      </c>
    </row>
    <row r="10" customFormat="false" ht="15" hidden="false" customHeight="false" outlineLevel="0" collapsed="false">
      <c r="A10" s="10" t="n">
        <v>45818</v>
      </c>
      <c r="B10" s="11" t="n">
        <v>14621</v>
      </c>
      <c r="C10" s="11" t="n">
        <v>15127</v>
      </c>
      <c r="D10" s="12" t="n">
        <v>97.2</v>
      </c>
      <c r="E10" s="12" t="n">
        <v>95.98</v>
      </c>
      <c r="F10" s="13" t="n">
        <v>0.9988</v>
      </c>
      <c r="G10" s="13" t="n">
        <v>0.9811</v>
      </c>
      <c r="H10" s="14" t="n">
        <v>1</v>
      </c>
      <c r="I10" s="15" t="n">
        <v>2.08</v>
      </c>
      <c r="J10" s="16" t="s">
        <v>29</v>
      </c>
      <c r="K10" s="17" t="n">
        <f aca="false">C10-B10</f>
        <v>506</v>
      </c>
      <c r="L10" s="18" t="n">
        <f aca="false">E10-D10</f>
        <v>-1.22</v>
      </c>
      <c r="M10" s="19" t="str">
        <f aca="false">IF(OR(K10/B10&lt;-0.05,L10/D10&lt;-0.05),"Miss",IF(OR(K10&lt;0,L10&lt;0),"Below","Hit"))</f>
        <v>Below</v>
      </c>
    </row>
    <row r="11" customFormat="false" ht="15" hidden="false" customHeight="false" outlineLevel="0" collapsed="false">
      <c r="A11" s="10" t="n">
        <v>45819</v>
      </c>
      <c r="B11" s="11" t="n">
        <v>12271</v>
      </c>
      <c r="C11" s="11" t="n">
        <v>11993</v>
      </c>
      <c r="D11" s="12" t="n">
        <v>104.43</v>
      </c>
      <c r="E11" s="12" t="n">
        <v>108.88</v>
      </c>
      <c r="F11" s="13" t="n">
        <v>0.9966</v>
      </c>
      <c r="G11" s="13" t="n">
        <v>0.9931</v>
      </c>
      <c r="H11" s="14" t="n">
        <v>0</v>
      </c>
      <c r="I11" s="15" t="n">
        <v>2.44</v>
      </c>
      <c r="J11" s="16" t="s">
        <v>30</v>
      </c>
      <c r="K11" s="17" t="n">
        <f aca="false">C11-B11</f>
        <v>-278</v>
      </c>
      <c r="L11" s="18" t="n">
        <f aca="false">E11-D11</f>
        <v>4.44999999999999</v>
      </c>
      <c r="M11" s="19" t="str">
        <f aca="false">IF(OR(K11/B11&lt;-0.05,L11/D11&lt;-0.05),"Miss",IF(OR(K11&lt;0,L11&lt;0),"Below","Hit"))</f>
        <v>Below</v>
      </c>
    </row>
    <row r="12" customFormat="false" ht="15" hidden="false" customHeight="false" outlineLevel="0" collapsed="false">
      <c r="A12" s="10" t="n">
        <v>45820</v>
      </c>
      <c r="B12" s="11" t="n">
        <v>13879</v>
      </c>
      <c r="C12" s="11" t="n">
        <v>13451</v>
      </c>
      <c r="D12" s="12" t="n">
        <v>96.4</v>
      </c>
      <c r="E12" s="12" t="n">
        <v>99.24</v>
      </c>
      <c r="F12" s="13" t="n">
        <v>0.9977</v>
      </c>
      <c r="G12" s="13" t="n">
        <v>0.9949</v>
      </c>
      <c r="H12" s="14" t="n">
        <v>0</v>
      </c>
      <c r="I12" s="15" t="n">
        <v>2.21</v>
      </c>
      <c r="J12" s="16" t="s">
        <v>31</v>
      </c>
      <c r="K12" s="17" t="n">
        <f aca="false">C12-B12</f>
        <v>-428</v>
      </c>
      <c r="L12" s="18" t="n">
        <f aca="false">E12-D12</f>
        <v>2.83999999999999</v>
      </c>
      <c r="M12" s="19" t="str">
        <f aca="false">IF(OR(K12/B12&lt;-0.05,L12/D12&lt;-0.05),"Miss",IF(OR(K12&lt;0,L12&lt;0),"Below","Hit"))</f>
        <v>Below</v>
      </c>
    </row>
    <row r="13" customFormat="false" ht="15" hidden="false" customHeight="false" outlineLevel="0" collapsed="false">
      <c r="A13" s="10" t="n">
        <v>45821</v>
      </c>
      <c r="B13" s="11" t="n">
        <v>13482</v>
      </c>
      <c r="C13" s="11" t="n">
        <v>13190</v>
      </c>
      <c r="D13" s="12" t="n">
        <v>104.98</v>
      </c>
      <c r="E13" s="12" t="n">
        <v>105.6</v>
      </c>
      <c r="F13" s="13" t="n">
        <v>0.9955</v>
      </c>
      <c r="G13" s="13" t="n">
        <v>0.9809</v>
      </c>
      <c r="H13" s="14" t="n">
        <v>0</v>
      </c>
      <c r="I13" s="15" t="n">
        <v>2.24</v>
      </c>
      <c r="J13" s="16" t="s">
        <v>32</v>
      </c>
      <c r="K13" s="17" t="n">
        <f aca="false">C13-B13</f>
        <v>-292</v>
      </c>
      <c r="L13" s="18" t="n">
        <f aca="false">E13-D13</f>
        <v>0.61999999999999</v>
      </c>
      <c r="M13" s="19" t="str">
        <f aca="false">IF(OR(K13/B13&lt;-0.05,L13/D13&lt;-0.05),"Miss",IF(OR(K13&lt;0,L13&lt;0),"Below","Hit"))</f>
        <v>Below</v>
      </c>
    </row>
    <row r="14" customFormat="false" ht="15" hidden="false" customHeight="false" outlineLevel="0" collapsed="false">
      <c r="A14" s="10" t="n">
        <v>45822</v>
      </c>
      <c r="B14" s="11" t="n">
        <v>14787</v>
      </c>
      <c r="C14" s="11" t="n">
        <v>14826</v>
      </c>
      <c r="D14" s="12" t="n">
        <v>95.64</v>
      </c>
      <c r="E14" s="12" t="n">
        <v>94.99</v>
      </c>
      <c r="F14" s="13" t="n">
        <v>1</v>
      </c>
      <c r="G14" s="13" t="n">
        <v>0.9906</v>
      </c>
      <c r="H14" s="14" t="n">
        <v>0</v>
      </c>
      <c r="I14" s="15" t="n">
        <v>2.28</v>
      </c>
      <c r="J14" s="16" t="s">
        <v>33</v>
      </c>
      <c r="K14" s="17" t="n">
        <f aca="false">C14-B14</f>
        <v>39</v>
      </c>
      <c r="L14" s="18" t="n">
        <f aca="false">E14-D14</f>
        <v>-0.650000000000006</v>
      </c>
      <c r="M14" s="19" t="str">
        <f aca="false">IF(OR(K14/B14&lt;-0.05,L14/D14&lt;-0.05),"Miss",IF(OR(K14&lt;0,L14&lt;0),"Below","Hit"))</f>
        <v>Below</v>
      </c>
    </row>
    <row r="15" customFormat="false" ht="15" hidden="false" customHeight="false" outlineLevel="0" collapsed="false">
      <c r="A15" s="10" t="n">
        <v>45823</v>
      </c>
      <c r="B15" s="11" t="n">
        <v>12469</v>
      </c>
      <c r="C15" s="11" t="n">
        <v>12891</v>
      </c>
      <c r="D15" s="12" t="n">
        <v>100.37</v>
      </c>
      <c r="E15" s="12" t="n">
        <v>98.53</v>
      </c>
      <c r="F15" s="13" t="n">
        <v>0.9982</v>
      </c>
      <c r="G15" s="13" t="n">
        <v>0.9822</v>
      </c>
      <c r="H15" s="14" t="n">
        <v>0</v>
      </c>
      <c r="I15" s="15" t="n">
        <v>2.12</v>
      </c>
      <c r="J15" s="16" t="s">
        <v>34</v>
      </c>
      <c r="K15" s="17" t="n">
        <f aca="false">C15-B15</f>
        <v>422</v>
      </c>
      <c r="L15" s="18" t="n">
        <f aca="false">E15-D15</f>
        <v>-1.84</v>
      </c>
      <c r="M15" s="19" t="str">
        <f aca="false">IF(OR(K15/B15&lt;-0.05,L15/D15&lt;-0.05),"Miss",IF(OR(K15&lt;0,L15&lt;0),"Below","Hit"))</f>
        <v>Below</v>
      </c>
    </row>
  </sheetData>
  <autoFilter ref="A1:J15"/>
  <conditionalFormatting sqref="M2:M15">
    <cfRule type="cellIs" priority="2" operator="equal" aboveAverage="0" equalAverage="0" bottom="0" percent="0" rank="0" text="" dxfId="4">
      <formula>"Miss"</formula>
    </cfRule>
    <cfRule type="cellIs" priority="3" operator="equal" aboveAverage="0" equalAverage="0" bottom="0" percent="0" rank="0" text="" dxfId="5">
      <formula>"Below"</formula>
    </cfRule>
    <cfRule type="cellIs" priority="4" operator="equal" aboveAverage="0" equalAverage="0" bottom="0" percent="0" rank="0" text="" dxfId="6">
      <formula>"Hit"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7A"/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8" min="3" style="0" width="12"/>
    <col collapsed="false" customWidth="true" hidden="false" outlineLevel="0" max="9" min="9" style="0" width="30"/>
  </cols>
  <sheetData>
    <row r="2" customFormat="false" ht="25.5" hidden="false" customHeight="true" outlineLevel="0" collapsed="false">
      <c r="B2" s="1" t="s">
        <v>35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20" t="s">
        <v>37</v>
      </c>
      <c r="C5" s="20"/>
      <c r="D5" s="20"/>
      <c r="E5" s="20"/>
      <c r="F5" s="20"/>
      <c r="G5" s="20"/>
      <c r="H5" s="20"/>
      <c r="I5" s="20"/>
    </row>
    <row r="7" customFormat="false" ht="15" hidden="false" customHeight="false" outlineLevel="0" collapsed="false">
      <c r="B7" s="9" t="s">
        <v>38</v>
      </c>
      <c r="C7" s="9" t="s">
        <v>39</v>
      </c>
      <c r="D7" s="9" t="s">
        <v>40</v>
      </c>
      <c r="E7" s="9" t="s">
        <v>41</v>
      </c>
      <c r="F7" s="9" t="s">
        <v>42</v>
      </c>
      <c r="G7" s="9" t="s">
        <v>43</v>
      </c>
      <c r="H7" s="9" t="s">
        <v>44</v>
      </c>
      <c r="I7" s="9" t="s">
        <v>45</v>
      </c>
    </row>
    <row r="8" customFormat="false" ht="15" hidden="false" customHeight="false" outlineLevel="0" collapsed="false">
      <c r="B8" s="21" t="s">
        <v>46</v>
      </c>
      <c r="C8" s="11" t="n">
        <v>1246</v>
      </c>
      <c r="D8" s="11" t="n">
        <v>1175</v>
      </c>
      <c r="E8" s="17" t="n">
        <f aca="false">C8-D8</f>
        <v>71</v>
      </c>
      <c r="F8" s="15" t="n">
        <v>2</v>
      </c>
      <c r="H8" s="22" t="n">
        <f aca="false">F8-G8</f>
        <v>2</v>
      </c>
      <c r="I8" s="16" t="str">
        <f aca="false">IF(E8/D8&lt;-0.05,"Investigate — UPH &gt;5% below plan",IF(E8&lt;0,"Below plan — monitor","Within tolerance"))</f>
        <v>Within tolerance</v>
      </c>
    </row>
    <row r="9" customFormat="false" ht="15" hidden="false" customHeight="false" outlineLevel="0" collapsed="false">
      <c r="B9" s="21" t="s">
        <v>47</v>
      </c>
      <c r="C9" s="11" t="n">
        <v>1149</v>
      </c>
      <c r="D9" s="11" t="n">
        <v>1175</v>
      </c>
      <c r="E9" s="17" t="n">
        <f aca="false">C9-D9</f>
        <v>-26</v>
      </c>
      <c r="F9" s="15" t="n">
        <v>2</v>
      </c>
      <c r="H9" s="22" t="n">
        <f aca="false">F9-G9</f>
        <v>2</v>
      </c>
      <c r="I9" s="16" t="str">
        <f aca="false">IF(E9/D9&lt;-0.05,"Investigate — UPH &gt;5% below plan",IF(E9&lt;0,"Below plan — monitor","Within tolerance"))</f>
        <v>Below plan — monitor</v>
      </c>
    </row>
    <row r="10" customFormat="false" ht="15" hidden="false" customHeight="false" outlineLevel="0" collapsed="false">
      <c r="B10" s="21" t="s">
        <v>48</v>
      </c>
      <c r="C10" s="11" t="n">
        <v>822</v>
      </c>
      <c r="D10" s="11" t="n">
        <v>850</v>
      </c>
      <c r="E10" s="17" t="n">
        <f aca="false">C10-D10</f>
        <v>-28</v>
      </c>
      <c r="F10" s="15" t="n">
        <v>2</v>
      </c>
      <c r="H10" s="22" t="n">
        <f aca="false">F10-G10</f>
        <v>2</v>
      </c>
      <c r="I10" s="16" t="str">
        <f aca="false">IF(E10/D10&lt;-0.05,"Investigate — UPH &gt;5% below plan",IF(E10&lt;0,"Below plan — monitor","Within tolerance"))</f>
        <v>Below plan — monitor</v>
      </c>
    </row>
    <row r="11" customFormat="false" ht="15" hidden="false" customHeight="false" outlineLevel="0" collapsed="false">
      <c r="B11" s="21" t="s">
        <v>49</v>
      </c>
      <c r="C11" s="11" t="n">
        <v>473</v>
      </c>
      <c r="D11" s="11" t="n">
        <v>450</v>
      </c>
      <c r="E11" s="17" t="n">
        <f aca="false">C11-D11</f>
        <v>23</v>
      </c>
      <c r="F11" s="15" t="n">
        <v>2.25</v>
      </c>
      <c r="H11" s="22" t="n">
        <f aca="false">F11-G11</f>
        <v>2.25</v>
      </c>
      <c r="I11" s="16" t="str">
        <f aca="false">IF(E11/D11&lt;-0.05,"Investigate — UPH &gt;5% below plan",IF(E11&lt;0,"Below plan — monitor","Within tolerance"))</f>
        <v>Within tolerance</v>
      </c>
    </row>
    <row r="12" customFormat="false" ht="15" hidden="false" customHeight="false" outlineLevel="0" collapsed="false">
      <c r="B12" s="21" t="s">
        <v>50</v>
      </c>
      <c r="C12" s="11" t="n">
        <v>358</v>
      </c>
      <c r="D12" s="11" t="n">
        <v>350</v>
      </c>
      <c r="E12" s="17" t="n">
        <f aca="false">C12-D12</f>
        <v>8</v>
      </c>
      <c r="F12" s="15" t="n">
        <v>2</v>
      </c>
      <c r="H12" s="22" t="n">
        <f aca="false">F12-G12</f>
        <v>2</v>
      </c>
      <c r="I12" s="16" t="str">
        <f aca="false">IF(E12/D12&lt;-0.05,"Investigate — UPH &gt;5% below plan",IF(E12&lt;0,"Below plan — monitor","Within tolerance"))</f>
        <v>Within tolerance</v>
      </c>
    </row>
    <row r="13" customFormat="false" ht="15" hidden="false" customHeight="false" outlineLevel="0" collapsed="false">
      <c r="B13" s="21" t="s">
        <v>51</v>
      </c>
      <c r="C13" s="11" t="n">
        <v>227</v>
      </c>
      <c r="D13" s="11" t="n">
        <v>235</v>
      </c>
      <c r="E13" s="17" t="n">
        <f aca="false">C13-D13</f>
        <v>-8</v>
      </c>
      <c r="F13" s="15" t="n">
        <v>3.5</v>
      </c>
      <c r="H13" s="22" t="n">
        <f aca="false">F13-G13</f>
        <v>3.5</v>
      </c>
      <c r="I13" s="16" t="str">
        <f aca="false">IF(E13/D13&lt;-0.05,"Investigate — UPH &gt;5% below plan",IF(E13&lt;0,"Below plan — monitor","Within tolerance"))</f>
        <v>Below plan — monitor</v>
      </c>
    </row>
    <row r="15" customFormat="false" ht="15" hidden="false" customHeight="false" outlineLevel="0" collapsed="false">
      <c r="B15" s="23" t="s">
        <v>52</v>
      </c>
      <c r="C15" s="24" t="n">
        <f aca="false">SUM(C8:C13)</f>
        <v>4275</v>
      </c>
      <c r="D15" s="24" t="n">
        <f aca="false">SUM(D8:D13)</f>
        <v>4235</v>
      </c>
      <c r="E15" s="25" t="n">
        <f aca="false">SUM(E8:E13)</f>
        <v>40</v>
      </c>
      <c r="F15" s="26" t="n">
        <f aca="false">SUM(F8:F13)</f>
        <v>13.75</v>
      </c>
      <c r="G15" s="26" t="n">
        <f aca="false">SUM(G8:G13)</f>
        <v>0</v>
      </c>
      <c r="H15" s="27" t="n">
        <f aca="false">SUM(H8:H13)</f>
        <v>13.75</v>
      </c>
      <c r="I15" s="28"/>
    </row>
  </sheetData>
  <mergeCells count="3">
    <mergeCell ref="B2:H2"/>
    <mergeCell ref="B3:H3"/>
    <mergeCell ref="B5:I5"/>
  </mergeCells>
  <conditionalFormatting sqref="E8:E13">
    <cfRule type="expression" priority="2" aboveAverage="0" equalAverage="0" bottom="0" percent="0" rank="0" text="" dxfId="4">
      <formula>E8/D8&lt;-5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2026-07-28T00:09:17Z</dcterms:created>
  <dc:creator>openpyxl</dc:creator>
  <dc:description/>
  <dc:language>en-US</dc:language>
  <cp:lastModifiedBy/>
  <dcterms:modified xsi:type="dcterms:W3CDTF">2026-07-28T00:09:19Z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